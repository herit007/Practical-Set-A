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Lookup" sheetId="2" state="visible" r:id="rId4"/>
    <sheet name="Clea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<sst xmlns="http://schemas.openxmlformats.org/spreadsheetml/2006/main" count="136" uniqueCount="46">
  <si>
    <t xml:space="preserve">record_id</t>
  </si>
  <si>
    <t xml:space="preserve">month</t>
  </si>
  <si>
    <t xml:space="preserve">route_id</t>
  </si>
  <si>
    <t xml:space="preserve">hub</t>
  </si>
  <si>
    <t xml:space="preserve">promised_days</t>
  </si>
  <si>
    <t xml:space="preserve">actual_days</t>
  </si>
  <si>
    <t xml:space="preserve">Before row count (data rows)</t>
  </si>
  <si>
    <t xml:space="preserve">Jan</t>
  </si>
  <si>
    <t xml:space="preserve">R1</t>
  </si>
  <si>
    <t xml:space="preserve">Mumbai</t>
  </si>
  <si>
    <t xml:space="preserve">R2</t>
  </si>
  <si>
    <t xml:space="preserve">Chennai</t>
  </si>
  <si>
    <t xml:space="preserve">R3</t>
  </si>
  <si>
    <t xml:space="preserve">Delhi</t>
  </si>
  <si>
    <t xml:space="preserve">Orange row 14 = exact duplicate of record_id 12 (unchanged raw data).</t>
  </si>
  <si>
    <t xml:space="preserve">R4</t>
  </si>
  <si>
    <t xml:space="preserve">Feb</t>
  </si>
  <si>
    <t xml:space="preserve">Mar</t>
  </si>
  <si>
    <t xml:space="preserve">route</t>
  </si>
  <si>
    <t xml:space="preserve">service_type</t>
  </si>
  <si>
    <t xml:space="preserve">Lookup row count</t>
  </si>
  <si>
    <t xml:space="preserve">Metro Link</t>
  </si>
  <si>
    <t xml:space="preserve">Express</t>
  </si>
  <si>
    <t xml:space="preserve">City Dash</t>
  </si>
  <si>
    <t xml:space="preserve">Highway Freight</t>
  </si>
  <si>
    <t xml:space="preserve">Standard</t>
  </si>
  <si>
    <t xml:space="preserve">Rural Feeder</t>
  </si>
  <si>
    <t xml:space="preserve">delay_days</t>
  </si>
  <si>
    <t xml:space="preserve">Row counts</t>
  </si>
  <si>
    <t xml:space="preserve">Before (Raw)</t>
  </si>
  <si>
    <t xml:space="preserve">After (Clean)</t>
  </si>
  <si>
    <t xml:space="preserve">Duplicates removed</t>
  </si>
  <si>
    <t xml:space="preserve">Unmatched route_id</t>
  </si>
  <si>
    <t xml:space="preserve">service_type: INDEX/MATCH on Lookup (route_id key).</t>
  </si>
  <si>
    <t xml:space="preserve">delay_days: =MAX(actual_days - promised_days, 0).</t>
  </si>
  <si>
    <t xml:space="preserve">Types: record_id/days = numbers; month, route_id, hub = text.</t>
  </si>
  <si>
    <t xml:space="preserve">Delivery Delay Analysis - Summary</t>
  </si>
  <si>
    <t xml:space="preserve">Total delay_days by hub (SUMIFS)</t>
  </si>
  <si>
    <t xml:space="preserve">total_delay_days</t>
  </si>
  <si>
    <t xml:space="preserve">Highest-delay hub</t>
  </si>
  <si>
    <t xml:space="preserve">(first alphabetical if tied)</t>
  </si>
  <si>
    <t xml:space="preserve">Total</t>
  </si>
  <si>
    <t xml:space="preserve">Total delay_days by service_type x month (live SUMIFS cross-tab - source for chart)</t>
  </si>
  <si>
    <t xml:space="preserve">Grand Total</t>
  </si>
  <si>
    <t xml:space="preserve">Check vs hub total</t>
  </si>
  <si>
    <t xml:space="preserve">REAL PivotTable goes here (see steps): rows = service_type, columns = month (Jan, Feb, Mar), values = Sum of delay_days.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</si>
</sst>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Delay Days by Service Type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Summary!$B$13:$B$14</c:f>
              <c:numCache>
                <c:formatCode>0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</c:ser>
        <c:ser>
          <c:idx val="1"/>
          <c:order val="1"/>
          <c:tx>
            <c:strRef>
              <c:f>Summary!C12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Summary!$C$13:$C$14</c:f>
              <c:numCache>
                <c:formatCode>0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</c:ser>
        <c:ser>
          <c:idx val="2"/>
          <c:order val="2"/>
          <c:tx>
            <c:strRef>
              <c:f>Summary!D12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Summary!$D$13:$D$14</c:f>
              <c:numCache>
                <c:formatCode>0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</c:ser>
        <c:gapWidth val="150"/>
        <c:overlap val="0"/>
        <c:axId val="85090743"/>
        <c:axId val="18220679"/>
      </c:barChart>
      <c:catAx>
        <c:axId val="85090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Service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20679"/>
        <c:crosses val="autoZero"/>
        <c:auto val="1"/>
        <c:lblAlgn val="ctr"/>
        <c:lblOffset val="100"/>
        <c:noMultiLvlLbl val="0"/>
      </c:catAx>
      <c:valAx>
        <c:axId val="18220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Delay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90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160920</xdr:rowOff>
    </xdr:from>
    <xdr:to>
      <xdr:col>6</xdr:col>
      <xdr:colOff>120960</xdr:colOff>
      <xdr:row>31</xdr:row>
      <xdr:rowOff>172440</xdr:rowOff>
    </xdr:to>
    <xdr:graphicFrame>
      <xdr:nvGraphicFramePr>
        <xdr:cNvPr id="0" name="Chart 1"/>
        <xdr:cNvGraphicFramePr/>
      </xdr:nvGraphicFramePr>
      <xdr:xfrm>
        <a:off x="0" y="304812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3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A2" s="3" t="n">
        <v>1</v>
      </c>
      <c r="B2" s="3" t="s">
        <v>7</v>
      </c>
      <c r="C2" s="3" t="s">
        <v>8</v>
      </c>
      <c r="D2" s="3" t="s">
        <v>9</v>
      </c>
      <c r="E2" s="3" t="n">
        <v>2</v>
      </c>
      <c r="F2" s="3" t="n">
        <v>2</v>
      </c>
      <c r="H2" s="4" t="n">
        <f aca="false">COUNTA(A2:A14)</f>
        <v>13</v>
      </c>
    </row>
    <row r="3" customFormat="false" ht="15" hidden="false" customHeight="false" outlineLevel="0" collapsed="false">
      <c r="A3" s="3" t="n">
        <v>2</v>
      </c>
      <c r="B3" s="3" t="s">
        <v>7</v>
      </c>
      <c r="C3" s="3" t="s">
        <v>10</v>
      </c>
      <c r="D3" s="3" t="s">
        <v>11</v>
      </c>
      <c r="E3" s="3" t="n">
        <v>3</v>
      </c>
      <c r="F3" s="3" t="n">
        <v>4</v>
      </c>
    </row>
    <row r="4" customFormat="false" ht="15" hidden="false" customHeight="false" outlineLevel="0" collapsed="false">
      <c r="A4" s="3" t="n">
        <v>3</v>
      </c>
      <c r="B4" s="3" t="s">
        <v>7</v>
      </c>
      <c r="C4" s="3" t="s">
        <v>12</v>
      </c>
      <c r="D4" s="3" t="s">
        <v>13</v>
      </c>
      <c r="E4" s="3" t="n">
        <v>5</v>
      </c>
      <c r="F4" s="3" t="n">
        <v>8</v>
      </c>
      <c r="H4" s="5" t="s">
        <v>14</v>
      </c>
    </row>
    <row r="5" customFormat="false" ht="15" hidden="false" customHeight="false" outlineLevel="0" collapsed="false">
      <c r="A5" s="3" t="n">
        <v>4</v>
      </c>
      <c r="B5" s="3" t="s">
        <v>7</v>
      </c>
      <c r="C5" s="3" t="s">
        <v>15</v>
      </c>
      <c r="D5" s="3" t="s">
        <v>9</v>
      </c>
      <c r="E5" s="3" t="n">
        <v>6</v>
      </c>
      <c r="F5" s="3" t="n">
        <v>10</v>
      </c>
    </row>
    <row r="6" customFormat="false" ht="15" hidden="false" customHeight="false" outlineLevel="0" collapsed="false">
      <c r="A6" s="3" t="n">
        <v>5</v>
      </c>
      <c r="B6" s="3" t="s">
        <v>16</v>
      </c>
      <c r="C6" s="3" t="s">
        <v>8</v>
      </c>
      <c r="D6" s="3" t="s">
        <v>11</v>
      </c>
      <c r="E6" s="3" t="n">
        <v>2</v>
      </c>
      <c r="F6" s="3" t="n">
        <v>5</v>
      </c>
    </row>
    <row r="7" customFormat="false" ht="15" hidden="false" customHeight="false" outlineLevel="0" collapsed="false">
      <c r="A7" s="3" t="n">
        <v>6</v>
      </c>
      <c r="B7" s="3" t="s">
        <v>16</v>
      </c>
      <c r="C7" s="3" t="s">
        <v>10</v>
      </c>
      <c r="D7" s="3" t="s">
        <v>13</v>
      </c>
      <c r="E7" s="3" t="n">
        <v>3</v>
      </c>
      <c r="F7" s="3" t="n">
        <v>3</v>
      </c>
    </row>
    <row r="8" customFormat="false" ht="15" hidden="false" customHeight="false" outlineLevel="0" collapsed="false">
      <c r="A8" s="3" t="n">
        <v>7</v>
      </c>
      <c r="B8" s="3" t="s">
        <v>16</v>
      </c>
      <c r="C8" s="3" t="s">
        <v>12</v>
      </c>
      <c r="D8" s="3" t="s">
        <v>13</v>
      </c>
      <c r="E8" s="3" t="n">
        <v>5</v>
      </c>
      <c r="F8" s="3" t="n">
        <v>10</v>
      </c>
    </row>
    <row r="9" customFormat="false" ht="15" hidden="false" customHeight="false" outlineLevel="0" collapsed="false">
      <c r="A9" s="3" t="n">
        <v>8</v>
      </c>
      <c r="B9" s="3" t="s">
        <v>16</v>
      </c>
      <c r="C9" s="3" t="s">
        <v>15</v>
      </c>
      <c r="D9" s="3" t="s">
        <v>11</v>
      </c>
      <c r="E9" s="3" t="n">
        <v>6</v>
      </c>
      <c r="F9" s="3" t="n">
        <v>7</v>
      </c>
    </row>
    <row r="10" customFormat="false" ht="15" hidden="false" customHeight="false" outlineLevel="0" collapsed="false">
      <c r="A10" s="3" t="n">
        <v>9</v>
      </c>
      <c r="B10" s="3" t="s">
        <v>17</v>
      </c>
      <c r="C10" s="3" t="s">
        <v>8</v>
      </c>
      <c r="D10" s="3" t="s">
        <v>13</v>
      </c>
      <c r="E10" s="3" t="n">
        <v>2</v>
      </c>
      <c r="F10" s="3" t="n">
        <v>8</v>
      </c>
    </row>
    <row r="11" customFormat="false" ht="15" hidden="false" customHeight="false" outlineLevel="0" collapsed="false">
      <c r="A11" s="3" t="n">
        <v>10</v>
      </c>
      <c r="B11" s="3" t="s">
        <v>17</v>
      </c>
      <c r="C11" s="3" t="s">
        <v>10</v>
      </c>
      <c r="D11" s="3" t="s">
        <v>9</v>
      </c>
      <c r="E11" s="3" t="n">
        <v>3</v>
      </c>
      <c r="F11" s="3" t="n">
        <v>5</v>
      </c>
    </row>
    <row r="12" customFormat="false" ht="15" hidden="false" customHeight="false" outlineLevel="0" collapsed="false">
      <c r="A12" s="3" t="n">
        <v>11</v>
      </c>
      <c r="B12" s="3" t="s">
        <v>17</v>
      </c>
      <c r="C12" s="3" t="s">
        <v>12</v>
      </c>
      <c r="D12" s="3" t="s">
        <v>11</v>
      </c>
      <c r="E12" s="3" t="n">
        <v>5</v>
      </c>
      <c r="F12" s="3" t="n">
        <v>5</v>
      </c>
    </row>
    <row r="13" customFormat="false" ht="15" hidden="false" customHeight="false" outlineLevel="0" collapsed="false">
      <c r="A13" s="3" t="n">
        <v>12</v>
      </c>
      <c r="B13" s="3" t="s">
        <v>17</v>
      </c>
      <c r="C13" s="3" t="s">
        <v>15</v>
      </c>
      <c r="D13" s="3" t="s">
        <v>9</v>
      </c>
      <c r="E13" s="3" t="n">
        <v>6</v>
      </c>
      <c r="F13" s="3" t="n">
        <v>15</v>
      </c>
    </row>
    <row r="14" customFormat="false" ht="15" hidden="false" customHeight="false" outlineLevel="0" collapsed="false">
      <c r="A14" s="6" t="n">
        <v>12</v>
      </c>
      <c r="B14" s="6" t="s">
        <v>17</v>
      </c>
      <c r="C14" s="6" t="s">
        <v>15</v>
      </c>
      <c r="D14" s="6" t="s">
        <v>9</v>
      </c>
      <c r="E14" s="6" t="n">
        <v>6</v>
      </c>
      <c r="F14" s="6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2</v>
      </c>
      <c r="B1" s="1" t="s">
        <v>18</v>
      </c>
      <c r="C1" s="1" t="s">
        <v>19</v>
      </c>
      <c r="E1" s="2" t="s">
        <v>20</v>
      </c>
    </row>
    <row r="2" customFormat="false" ht="15" hidden="false" customHeight="false" outlineLevel="0" collapsed="false">
      <c r="A2" s="3" t="s">
        <v>8</v>
      </c>
      <c r="B2" s="3" t="s">
        <v>21</v>
      </c>
      <c r="C2" s="3" t="s">
        <v>22</v>
      </c>
      <c r="E2" s="4" t="n">
        <f aca="false">COUNTA(A2:A5)</f>
        <v>4</v>
      </c>
    </row>
    <row r="3" customFormat="false" ht="15" hidden="false" customHeight="false" outlineLevel="0" collapsed="false">
      <c r="A3" s="3" t="s">
        <v>10</v>
      </c>
      <c r="B3" s="3" t="s">
        <v>23</v>
      </c>
      <c r="C3" s="3" t="s">
        <v>22</v>
      </c>
    </row>
    <row r="4" customFormat="false" ht="15" hidden="false" customHeight="false" outlineLevel="0" collapsed="false">
      <c r="A4" s="3" t="s">
        <v>12</v>
      </c>
      <c r="B4" s="3" t="s">
        <v>24</v>
      </c>
      <c r="C4" s="3" t="s">
        <v>25</v>
      </c>
    </row>
    <row r="5" customFormat="false" ht="15" hidden="false" customHeight="false" outlineLevel="0" collapsed="false">
      <c r="A5" s="3" t="s">
        <v>15</v>
      </c>
      <c r="B5" s="3" t="s">
        <v>26</v>
      </c>
      <c r="C5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27</v>
      </c>
      <c r="J1" s="2" t="s">
        <v>28</v>
      </c>
    </row>
    <row r="2" customFormat="false" ht="15" hidden="false" customHeight="false" outlineLevel="0" collapsed="false">
      <c r="A2" s="7" t="n">
        <v>1</v>
      </c>
      <c r="B2" s="8" t="s">
        <v>7</v>
      </c>
      <c r="C2" s="8" t="s">
        <v>8</v>
      </c>
      <c r="D2" s="8" t="s">
        <v>9</v>
      </c>
      <c r="E2" s="7" t="n">
        <v>2</v>
      </c>
      <c r="F2" s="7" t="n">
        <v>2</v>
      </c>
      <c r="G2" s="3" t="str">
        <f aca="false">INDEX(Lookup!$C$2:$C$5,MATCH(C2,Lookup!$A$2:$A$5,0))</f>
        <v>Express</v>
      </c>
      <c r="H2" s="7" t="n">
        <f aca="false">MAX(F2-E2,0)</f>
        <v>0</v>
      </c>
      <c r="J2" s="9" t="s">
        <v>29</v>
      </c>
      <c r="K2" s="4" t="n">
        <f aca="false">COUNTA(Raw!A2:A14)</f>
        <v>13</v>
      </c>
    </row>
    <row r="3" customFormat="false" ht="15" hidden="false" customHeight="false" outlineLevel="0" collapsed="false">
      <c r="A3" s="7" t="n">
        <v>2</v>
      </c>
      <c r="B3" s="8" t="s">
        <v>7</v>
      </c>
      <c r="C3" s="8" t="s">
        <v>10</v>
      </c>
      <c r="D3" s="8" t="s">
        <v>11</v>
      </c>
      <c r="E3" s="7" t="n">
        <v>3</v>
      </c>
      <c r="F3" s="7" t="n">
        <v>4</v>
      </c>
      <c r="G3" s="3" t="str">
        <f aca="false">INDEX(Lookup!$C$2:$C$5,MATCH(C3,Lookup!$A$2:$A$5,0))</f>
        <v>Express</v>
      </c>
      <c r="H3" s="7" t="n">
        <f aca="false">MAX(F3-E3,0)</f>
        <v>1</v>
      </c>
      <c r="J3" s="9" t="s">
        <v>30</v>
      </c>
      <c r="K3" s="4" t="n">
        <f aca="false">COUNTA(A2:A13)</f>
        <v>12</v>
      </c>
    </row>
    <row r="4" customFormat="false" ht="15" hidden="false" customHeight="false" outlineLevel="0" collapsed="false">
      <c r="A4" s="7" t="n">
        <v>3</v>
      </c>
      <c r="B4" s="8" t="s">
        <v>7</v>
      </c>
      <c r="C4" s="8" t="s">
        <v>12</v>
      </c>
      <c r="D4" s="8" t="s">
        <v>13</v>
      </c>
      <c r="E4" s="7" t="n">
        <v>5</v>
      </c>
      <c r="F4" s="7" t="n">
        <v>8</v>
      </c>
      <c r="G4" s="3" t="str">
        <f aca="false">INDEX(Lookup!$C$2:$C$5,MATCH(C4,Lookup!$A$2:$A$5,0))</f>
        <v>Standard</v>
      </c>
      <c r="H4" s="7" t="n">
        <f aca="false">MAX(F4-E4,0)</f>
        <v>3</v>
      </c>
      <c r="J4" s="9" t="s">
        <v>31</v>
      </c>
      <c r="K4" s="4" t="n">
        <f aca="false">K2-K3</f>
        <v>1</v>
      </c>
    </row>
    <row r="5" customFormat="false" ht="15" hidden="false" customHeight="false" outlineLevel="0" collapsed="false">
      <c r="A5" s="7" t="n">
        <v>4</v>
      </c>
      <c r="B5" s="8" t="s">
        <v>7</v>
      </c>
      <c r="C5" s="8" t="s">
        <v>15</v>
      </c>
      <c r="D5" s="8" t="s">
        <v>9</v>
      </c>
      <c r="E5" s="7" t="n">
        <v>6</v>
      </c>
      <c r="F5" s="7" t="n">
        <v>10</v>
      </c>
      <c r="G5" s="3" t="str">
        <f aca="false">INDEX(Lookup!$C$2:$C$5,MATCH(C5,Lookup!$A$2:$A$5,0))</f>
        <v>Standard</v>
      </c>
      <c r="H5" s="7" t="n">
        <f aca="false">MAX(F5-E5,0)</f>
        <v>4</v>
      </c>
      <c r="J5" s="9" t="s">
        <v>32</v>
      </c>
      <c r="K5" s="4" t="n">
        <f aca="false">SUMPRODUCT(--ISNA(MATCH(C2:C13,Lookup!A2:A5,0)))</f>
        <v>0</v>
      </c>
    </row>
    <row r="6" customFormat="false" ht="15" hidden="false" customHeight="false" outlineLevel="0" collapsed="false">
      <c r="A6" s="7" t="n">
        <v>5</v>
      </c>
      <c r="B6" s="8" t="s">
        <v>16</v>
      </c>
      <c r="C6" s="8" t="s">
        <v>8</v>
      </c>
      <c r="D6" s="8" t="s">
        <v>11</v>
      </c>
      <c r="E6" s="7" t="n">
        <v>2</v>
      </c>
      <c r="F6" s="7" t="n">
        <v>5</v>
      </c>
      <c r="G6" s="3" t="str">
        <f aca="false">INDEX(Lookup!$C$2:$C$5,MATCH(C6,Lookup!$A$2:$A$5,0))</f>
        <v>Express</v>
      </c>
      <c r="H6" s="7" t="n">
        <f aca="false">MAX(F6-E6,0)</f>
        <v>3</v>
      </c>
    </row>
    <row r="7" customFormat="false" ht="15" hidden="false" customHeight="false" outlineLevel="0" collapsed="false">
      <c r="A7" s="7" t="n">
        <v>6</v>
      </c>
      <c r="B7" s="8" t="s">
        <v>16</v>
      </c>
      <c r="C7" s="8" t="s">
        <v>10</v>
      </c>
      <c r="D7" s="8" t="s">
        <v>13</v>
      </c>
      <c r="E7" s="7" t="n">
        <v>3</v>
      </c>
      <c r="F7" s="7" t="n">
        <v>3</v>
      </c>
      <c r="G7" s="3" t="str">
        <f aca="false">INDEX(Lookup!$C$2:$C$5,MATCH(C7,Lookup!$A$2:$A$5,0))</f>
        <v>Express</v>
      </c>
      <c r="H7" s="7" t="n">
        <f aca="false">MAX(F7-E7,0)</f>
        <v>0</v>
      </c>
      <c r="J7" s="5" t="s">
        <v>33</v>
      </c>
    </row>
    <row r="8" customFormat="false" ht="15" hidden="false" customHeight="false" outlineLevel="0" collapsed="false">
      <c r="A8" s="7" t="n">
        <v>7</v>
      </c>
      <c r="B8" s="8" t="s">
        <v>16</v>
      </c>
      <c r="C8" s="8" t="s">
        <v>12</v>
      </c>
      <c r="D8" s="8" t="s">
        <v>13</v>
      </c>
      <c r="E8" s="7" t="n">
        <v>5</v>
      </c>
      <c r="F8" s="7" t="n">
        <v>10</v>
      </c>
      <c r="G8" s="3" t="str">
        <f aca="false">INDEX(Lookup!$C$2:$C$5,MATCH(C8,Lookup!$A$2:$A$5,0))</f>
        <v>Standard</v>
      </c>
      <c r="H8" s="7" t="n">
        <f aca="false">MAX(F8-E8,0)</f>
        <v>5</v>
      </c>
      <c r="J8" s="5" t="s">
        <v>34</v>
      </c>
    </row>
    <row r="9" customFormat="false" ht="15" hidden="false" customHeight="false" outlineLevel="0" collapsed="false">
      <c r="A9" s="7" t="n">
        <v>8</v>
      </c>
      <c r="B9" s="8" t="s">
        <v>16</v>
      </c>
      <c r="C9" s="8" t="s">
        <v>15</v>
      </c>
      <c r="D9" s="8" t="s">
        <v>11</v>
      </c>
      <c r="E9" s="7" t="n">
        <v>6</v>
      </c>
      <c r="F9" s="7" t="n">
        <v>7</v>
      </c>
      <c r="G9" s="3" t="str">
        <f aca="false">INDEX(Lookup!$C$2:$C$5,MATCH(C9,Lookup!$A$2:$A$5,0))</f>
        <v>Standard</v>
      </c>
      <c r="H9" s="7" t="n">
        <f aca="false">MAX(F9-E9,0)</f>
        <v>1</v>
      </c>
      <c r="J9" s="5" t="s">
        <v>35</v>
      </c>
    </row>
    <row r="10" customFormat="false" ht="15" hidden="false" customHeight="false" outlineLevel="0" collapsed="false">
      <c r="A10" s="7" t="n">
        <v>9</v>
      </c>
      <c r="B10" s="8" t="s">
        <v>17</v>
      </c>
      <c r="C10" s="8" t="s">
        <v>8</v>
      </c>
      <c r="D10" s="8" t="s">
        <v>13</v>
      </c>
      <c r="E10" s="7" t="n">
        <v>2</v>
      </c>
      <c r="F10" s="7" t="n">
        <v>8</v>
      </c>
      <c r="G10" s="3" t="str">
        <f aca="false">INDEX(Lookup!$C$2:$C$5,MATCH(C10,Lookup!$A$2:$A$5,0))</f>
        <v>Express</v>
      </c>
      <c r="H10" s="7" t="n">
        <f aca="false">MAX(F10-E10,0)</f>
        <v>6</v>
      </c>
    </row>
    <row r="11" customFormat="false" ht="15" hidden="false" customHeight="false" outlineLevel="0" collapsed="false">
      <c r="A11" s="7" t="n">
        <v>10</v>
      </c>
      <c r="B11" s="8" t="s">
        <v>17</v>
      </c>
      <c r="C11" s="8" t="s">
        <v>10</v>
      </c>
      <c r="D11" s="8" t="s">
        <v>9</v>
      </c>
      <c r="E11" s="7" t="n">
        <v>3</v>
      </c>
      <c r="F11" s="7" t="n">
        <v>5</v>
      </c>
      <c r="G11" s="3" t="str">
        <f aca="false">INDEX(Lookup!$C$2:$C$5,MATCH(C11,Lookup!$A$2:$A$5,0))</f>
        <v>Express</v>
      </c>
      <c r="H11" s="7" t="n">
        <f aca="false">MAX(F11-E11,0)</f>
        <v>2</v>
      </c>
    </row>
    <row r="12" customFormat="false" ht="15" hidden="false" customHeight="false" outlineLevel="0" collapsed="false">
      <c r="A12" s="7" t="n">
        <v>11</v>
      </c>
      <c r="B12" s="8" t="s">
        <v>17</v>
      </c>
      <c r="C12" s="8" t="s">
        <v>12</v>
      </c>
      <c r="D12" s="8" t="s">
        <v>11</v>
      </c>
      <c r="E12" s="7" t="n">
        <v>5</v>
      </c>
      <c r="F12" s="7" t="n">
        <v>5</v>
      </c>
      <c r="G12" s="3" t="str">
        <f aca="false">INDEX(Lookup!$C$2:$C$5,MATCH(C12,Lookup!$A$2:$A$5,0))</f>
        <v>Standard</v>
      </c>
      <c r="H12" s="7" t="n">
        <f aca="false">MAX(F12-E12,0)</f>
        <v>0</v>
      </c>
    </row>
    <row r="13" customFormat="false" ht="15" hidden="false" customHeight="false" outlineLevel="0" collapsed="false">
      <c r="A13" s="7" t="n">
        <v>12</v>
      </c>
      <c r="B13" s="8" t="s">
        <v>17</v>
      </c>
      <c r="C13" s="8" t="s">
        <v>15</v>
      </c>
      <c r="D13" s="8" t="s">
        <v>9</v>
      </c>
      <c r="E13" s="7" t="n">
        <v>6</v>
      </c>
      <c r="F13" s="7" t="n">
        <v>15</v>
      </c>
      <c r="G13" s="3" t="str">
        <f aca="false">INDEX(Lookup!$C$2:$C$5,MATCH(C13,Lookup!$A$2:$A$5,0))</f>
        <v>Standard</v>
      </c>
      <c r="H13" s="7" t="n">
        <f aca="false">MAX(F13-E13,0)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0" t="s">
        <v>36</v>
      </c>
    </row>
    <row r="3" customFormat="false" ht="15" hidden="false" customHeight="false" outlineLevel="0" collapsed="false">
      <c r="A3" s="2" t="s">
        <v>37</v>
      </c>
    </row>
    <row r="4" customFormat="false" ht="15" hidden="false" customHeight="false" outlineLevel="0" collapsed="false">
      <c r="A4" s="1" t="s">
        <v>3</v>
      </c>
      <c r="B4" s="1" t="s">
        <v>38</v>
      </c>
      <c r="D4" s="2" t="s">
        <v>39</v>
      </c>
      <c r="E4" s="9" t="str">
        <f aca="false">INDEX(A5:A7,MATCH(MAX(B5:B7),B5:B7,0))</f>
        <v>Mumbai</v>
      </c>
    </row>
    <row r="5" customFormat="false" ht="15" hidden="false" customHeight="false" outlineLevel="0" collapsed="false">
      <c r="A5" s="11" t="s">
        <v>11</v>
      </c>
      <c r="B5" s="7" t="n">
        <f aca="false">SUMIFS(Clean!$H$2:$H$13,Clean!$D$2:$D$13,A5)</f>
        <v>5</v>
      </c>
      <c r="D5" s="5" t="s">
        <v>40</v>
      </c>
    </row>
    <row r="6" customFormat="false" ht="15" hidden="false" customHeight="false" outlineLevel="0" collapsed="false">
      <c r="A6" s="11" t="s">
        <v>13</v>
      </c>
      <c r="B6" s="7" t="n">
        <f aca="false">SUMIFS(Clean!$H$2:$H$13,Clean!$D$2:$D$13,A6)</f>
        <v>14</v>
      </c>
    </row>
    <row r="7" customFormat="false" ht="15" hidden="false" customHeight="false" outlineLevel="0" collapsed="false">
      <c r="A7" s="11" t="s">
        <v>9</v>
      </c>
      <c r="B7" s="7" t="n">
        <f aca="false">SUMIFS(Clean!$H$2:$H$13,Clean!$D$2:$D$13,A7)</f>
        <v>15</v>
      </c>
    </row>
    <row r="8" customFormat="false" ht="15" hidden="false" customHeight="false" outlineLevel="0" collapsed="false">
      <c r="A8" s="12" t="s">
        <v>41</v>
      </c>
      <c r="B8" s="13" t="n">
        <f aca="false">SUM(B5:B7)</f>
        <v>34</v>
      </c>
    </row>
    <row r="11" customFormat="false" ht="15" hidden="false" customHeight="false" outlineLevel="0" collapsed="false">
      <c r="A11" s="2" t="s">
        <v>42</v>
      </c>
    </row>
    <row r="12" customFormat="false" ht="15" hidden="false" customHeight="false" outlineLevel="0" collapsed="false">
      <c r="A12" s="1" t="s">
        <v>19</v>
      </c>
      <c r="B12" s="1" t="s">
        <v>7</v>
      </c>
      <c r="C12" s="1" t="s">
        <v>16</v>
      </c>
      <c r="D12" s="1" t="s">
        <v>17</v>
      </c>
      <c r="E12" s="1" t="s">
        <v>43</v>
      </c>
      <c r="G12" s="2" t="s">
        <v>44</v>
      </c>
    </row>
    <row r="13" customFormat="false" ht="15" hidden="false" customHeight="false" outlineLevel="0" collapsed="false">
      <c r="A13" s="11" t="s">
        <v>22</v>
      </c>
      <c r="B13" s="7" t="n">
        <f aca="false">SUMIFS(Clean!$H$2:$H$13,Clean!$G$2:$G$13,$A13,Clean!$B$2:$B$13,B$12)</f>
        <v>1</v>
      </c>
      <c r="C13" s="7" t="n">
        <f aca="false">SUMIFS(Clean!$H$2:$H$13,Clean!$G$2:$G$13,$A13,Clean!$B$2:$B$13,C$12)</f>
        <v>3</v>
      </c>
      <c r="D13" s="7" t="n">
        <f aca="false">SUMIFS(Clean!$H$2:$H$13,Clean!$G$2:$G$13,$A13,Clean!$B$2:$B$13,D$12)</f>
        <v>8</v>
      </c>
      <c r="E13" s="13" t="n">
        <f aca="false">SUM(B13:D13)</f>
        <v>12</v>
      </c>
      <c r="G13" s="2" t="str">
        <f aca="false">IF(E15=B8,"OK - totals match","MISMATCH")</f>
        <v>OK - totals match</v>
      </c>
    </row>
    <row r="14" customFormat="false" ht="15" hidden="false" customHeight="false" outlineLevel="0" collapsed="false">
      <c r="A14" s="11" t="s">
        <v>25</v>
      </c>
      <c r="B14" s="7" t="n">
        <f aca="false">SUMIFS(Clean!$H$2:$H$13,Clean!$G$2:$G$13,$A14,Clean!$B$2:$B$13,B$12)</f>
        <v>7</v>
      </c>
      <c r="C14" s="7" t="n">
        <f aca="false">SUMIFS(Clean!$H$2:$H$13,Clean!$G$2:$G$13,$A14,Clean!$B$2:$B$13,C$12)</f>
        <v>6</v>
      </c>
      <c r="D14" s="7" t="n">
        <f aca="false">SUMIFS(Clean!$H$2:$H$13,Clean!$G$2:$G$13,$A14,Clean!$B$2:$B$13,D$12)</f>
        <v>9</v>
      </c>
      <c r="E14" s="13" t="n">
        <f aca="false">SUM(B14:D14)</f>
        <v>22</v>
      </c>
    </row>
    <row r="15" customFormat="false" ht="15" hidden="false" customHeight="false" outlineLevel="0" collapsed="false">
      <c r="A15" s="12" t="s">
        <v>43</v>
      </c>
      <c r="B15" s="13" t="n">
        <f aca="false">SUM(B13:B14)</f>
        <v>8</v>
      </c>
      <c r="C15" s="13" t="n">
        <f aca="false">SUM(C13:C14)</f>
        <v>9</v>
      </c>
      <c r="D15" s="13" t="n">
        <f aca="false">SUM(D13:D14)</f>
        <v>17</v>
      </c>
      <c r="E15" s="13" t="n">
        <f aca="false">SUM(E13:E14)</f>
        <v>34</v>
      </c>
    </row>
    <row r="36" customFormat="false" ht="15" hidden="false" customHeight="false" outlineLevel="0" collapsed="false">
      <c r="A36" s="1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2026-10-03T04:52:04Z</dcterms:created>
  <dc:creator>openpyxl</dc:creator>
  <dc:description/>
  <dc:language>en-US</dc:language>
  <cp:lastModifiedBy/>
  <dcterms:modified xsi:type="dcterms:W3CDTF">2026-10-03T04:52:08Z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